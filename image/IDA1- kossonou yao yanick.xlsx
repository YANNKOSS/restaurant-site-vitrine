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ARIE-LAURE\OneDrive\Bureau\restaurant\image\"/>
    </mc:Choice>
  </mc:AlternateContent>
  <xr:revisionPtr revIDLastSave="0" documentId="13_ncr:1_{A8732DC8-7207-45D1-A917-E9F567E7AB09}" xr6:coauthVersionLast="47" xr6:coauthVersionMax="47" xr10:uidLastSave="{00000000-0000-0000-0000-000000000000}"/>
  <bookViews>
    <workbookView xWindow="-120" yWindow="-120" windowWidth="20730" windowHeight="11040" activeTab="3" xr2:uid="{0A78DF96-53CD-4DF0-AE7F-7D3BE91784FE}"/>
  </bookViews>
  <sheets>
    <sheet name="feuil2" sheetId="3" r:id="rId1"/>
    <sheet name="Feuil4" sheetId="4" r:id="rId2"/>
    <sheet name="Feuil5" sheetId="5" r:id="rId3"/>
    <sheet name="Feuil1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4" l="1"/>
  <c r="F9" i="4"/>
  <c r="J2" i="3"/>
  <c r="J4" i="3" s="1"/>
  <c r="J5" i="3"/>
  <c r="J8" i="3"/>
  <c r="F3" i="4"/>
  <c r="F4" i="4"/>
  <c r="F5" i="4"/>
  <c r="F6" i="4"/>
  <c r="F7" i="4"/>
  <c r="F2" i="4"/>
  <c r="J3" i="3"/>
  <c r="J6" i="3"/>
  <c r="J7" i="3"/>
  <c r="J9" i="3"/>
  <c r="J10" i="3"/>
  <c r="I5" i="3"/>
  <c r="H6" i="3"/>
  <c r="H8" i="3"/>
  <c r="H10" i="3"/>
  <c r="H3" i="3"/>
  <c r="H2" i="3"/>
  <c r="H9" i="3"/>
  <c r="H7" i="3"/>
  <c r="H4" i="3"/>
  <c r="H5" i="3"/>
  <c r="G5" i="3"/>
  <c r="G8" i="3"/>
  <c r="G10" i="3"/>
  <c r="G3" i="3"/>
  <c r="G2" i="3"/>
  <c r="G9" i="3"/>
  <c r="G7" i="3"/>
  <c r="G4" i="3"/>
  <c r="G6" i="3"/>
  <c r="F8" i="4" l="1"/>
  <c r="F10" i="4" s="1"/>
  <c r="I4" i="3"/>
  <c r="I3" i="3"/>
  <c r="I9" i="3"/>
  <c r="I8" i="3"/>
  <c r="I2" i="3"/>
  <c r="I6" i="3"/>
  <c r="I7" i="3"/>
  <c r="I10" i="3"/>
  <c r="F12" i="4" l="1"/>
</calcChain>
</file>

<file path=xl/sharedStrings.xml><?xml version="1.0" encoding="utf-8"?>
<sst xmlns="http://schemas.openxmlformats.org/spreadsheetml/2006/main" count="48" uniqueCount="42">
  <si>
    <t>NOM</t>
  </si>
  <si>
    <t>MATHEMATIQUE</t>
  </si>
  <si>
    <t>TRANSITE</t>
  </si>
  <si>
    <t>PHYSIQUE</t>
  </si>
  <si>
    <t>INFORMATIQUE</t>
  </si>
  <si>
    <t>FRANCAIS</t>
  </si>
  <si>
    <t>TOTAL</t>
  </si>
  <si>
    <t>MARC</t>
  </si>
  <si>
    <t>MALAN</t>
  </si>
  <si>
    <t>PATRICIA</t>
  </si>
  <si>
    <t>HUGE</t>
  </si>
  <si>
    <t>ROSE</t>
  </si>
  <si>
    <t>LAETITIA</t>
  </si>
  <si>
    <t>SOLO</t>
  </si>
  <si>
    <t>ASSA</t>
  </si>
  <si>
    <t>JULI</t>
  </si>
  <si>
    <t>MOYENNE</t>
  </si>
  <si>
    <t>RANG</t>
  </si>
  <si>
    <t>APPRECIATION</t>
  </si>
  <si>
    <t>Désignation</t>
  </si>
  <si>
    <t>Montant</t>
  </si>
  <si>
    <t>Scanner</t>
  </si>
  <si>
    <t>Souris sans fil</t>
  </si>
  <si>
    <t>Montant Hors Taxe</t>
  </si>
  <si>
    <t>TVA 18%</t>
  </si>
  <si>
    <t>Montant Tout taxe confondu</t>
  </si>
  <si>
    <t>Quantité en stock</t>
  </si>
  <si>
    <t>quantité non vendu</t>
  </si>
  <si>
    <t>prix unitaire</t>
  </si>
  <si>
    <t>Montant Net à payer</t>
  </si>
  <si>
    <t>Quantité  vendu</t>
  </si>
  <si>
    <t>Acompte 5%</t>
  </si>
  <si>
    <t>Ventes</t>
  </si>
  <si>
    <t>Fev 2009</t>
  </si>
  <si>
    <t>Café</t>
  </si>
  <si>
    <t>cacao</t>
  </si>
  <si>
    <t>hévéa</t>
  </si>
  <si>
    <t>coton</t>
  </si>
  <si>
    <t xml:space="preserve"> clef USB 2GO</t>
  </si>
  <si>
    <t>Imprimante jet d'encore</t>
  </si>
  <si>
    <t>Graveur DVD</t>
  </si>
  <si>
    <t xml:space="preserve"> clavier sans 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</si>
</sst>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COMPARAISON</a:t>
            </a:r>
            <a:r>
              <a:rPr lang="fr-FR" b="1" baseline="0"/>
              <a:t> DES PRODUITS AGRICOLS </a:t>
            </a:r>
          </a:p>
          <a:p>
            <a:pPr>
              <a:defRPr/>
            </a:pPr>
            <a:r>
              <a:rPr lang="fr-FR" b="1" baseline="0"/>
              <a:t>DE JANVIER à MARS 2009</a:t>
            </a:r>
            <a:endParaRPr lang="fr-FR" b="1"/>
          </a:p>
        </c:rich>
      </c:tx>
      <c:layout>
        <c:manualLayout>
          <c:xMode val="edge"/>
          <c:yMode val="edge"/>
          <c:x val="0.30471652245407793"/>
          <c:y val="1.68843015132319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159660267027167E-2"/>
          <c:y val="8.9182144541469582E-2"/>
          <c:w val="0.92584033973297286"/>
          <c:h val="0.67431717317476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Feuil5!$A$2</c:f>
              <c:strCache>
                <c:ptCount val="1"/>
                <c:pt idx="0">
                  <c:v>Café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Feuil5!$B$1:$D$1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Feuil5!$B$2:$D$2</c:f>
              <c:numCache>
                <c:formatCode>General</c:formatCode>
                <c:ptCount val="3"/>
                <c:pt idx="0">
                  <c:v>482</c:v>
                </c:pt>
                <c:pt idx="1">
                  <c:v>223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F-403B-9502-FFBEA226447D}"/>
            </c:ext>
          </c:extLst>
        </c:ser>
        <c:ser>
          <c:idx val="1"/>
          <c:order val="1"/>
          <c:tx>
            <c:strRef>
              <c:f>Feuil5!$A$3</c:f>
              <c:strCache>
                <c:ptCount val="1"/>
                <c:pt idx="0">
                  <c:v>cacao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Feuil5!$B$1:$D$1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Feuil5!$B$3:$D$3</c:f>
              <c:numCache>
                <c:formatCode>General</c:formatCode>
                <c:ptCount val="3"/>
                <c:pt idx="0">
                  <c:v>695</c:v>
                </c:pt>
                <c:pt idx="1">
                  <c:v>550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F-403B-9502-FFBEA226447D}"/>
            </c:ext>
          </c:extLst>
        </c:ser>
        <c:ser>
          <c:idx val="2"/>
          <c:order val="2"/>
          <c:tx>
            <c:strRef>
              <c:f>Feuil5!$A$4</c:f>
              <c:strCache>
                <c:ptCount val="1"/>
                <c:pt idx="0">
                  <c:v>hévéa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Feuil5!$B$1:$D$1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Feuil5!$B$4:$D$4</c:f>
              <c:numCache>
                <c:formatCode>General</c:formatCode>
                <c:ptCount val="3"/>
                <c:pt idx="0">
                  <c:v>536</c:v>
                </c:pt>
                <c:pt idx="1">
                  <c:v>59</c:v>
                </c:pt>
                <c:pt idx="2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EF-403B-9502-FFBEA226447D}"/>
            </c:ext>
          </c:extLst>
        </c:ser>
        <c:ser>
          <c:idx val="3"/>
          <c:order val="3"/>
          <c:tx>
            <c:strRef>
              <c:f>Feuil5!$A$5</c:f>
              <c:strCache>
                <c:ptCount val="1"/>
                <c:pt idx="0">
                  <c:v>coton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Feuil5!$B$1:$D$1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Feuil5!$B$5:$D$5</c:f>
              <c:numCache>
                <c:formatCode>General</c:formatCode>
                <c:ptCount val="3"/>
                <c:pt idx="0">
                  <c:v>675</c:v>
                </c:pt>
                <c:pt idx="1">
                  <c:v>444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EF-403B-9502-FFBEA2264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406792"/>
        <c:axId val="486399592"/>
      </c:barChart>
      <c:catAx>
        <c:axId val="486406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ANNEE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6399592"/>
        <c:crosses val="autoZero"/>
        <c:auto val="1"/>
        <c:lblAlgn val="ctr"/>
        <c:lblOffset val="100"/>
        <c:noMultiLvlLbl val="0"/>
      </c:catAx>
      <c:valAx>
        <c:axId val="48639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Produits</a:t>
                </a:r>
                <a:r>
                  <a:rPr lang="fr-FR" sz="1400" b="1" baseline="0"/>
                  <a:t> Agricols</a:t>
                </a:r>
                <a:endParaRPr lang="fr-FR" sz="1400" b="1"/>
              </a:p>
            </c:rich>
          </c:tx>
          <c:layout>
            <c:manualLayout>
              <c:xMode val="edge"/>
              <c:yMode val="edge"/>
              <c:x val="0"/>
              <c:y val="0.26396168104536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640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163249052971281"/>
          <c:y val="0.89123774995751426"/>
          <c:w val="0.32206894557634952"/>
          <c:h val="4.0397740722162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Feuil1!$A$2</c:f>
              <c:strCache>
                <c:ptCount val="1"/>
                <c:pt idx="0">
                  <c:v>Café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Feuil1!$B$1:$D$1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Feuil1!$B$2:$D$2</c:f>
              <c:numCache>
                <c:formatCode>General</c:formatCode>
                <c:ptCount val="3"/>
                <c:pt idx="0">
                  <c:v>482</c:v>
                </c:pt>
                <c:pt idx="1">
                  <c:v>223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9-4451-A55A-F1DBE8564DC4}"/>
            </c:ext>
          </c:extLst>
        </c:ser>
        <c:ser>
          <c:idx val="1"/>
          <c:order val="1"/>
          <c:tx>
            <c:strRef>
              <c:f>Feuil1!$A$3</c:f>
              <c:strCache>
                <c:ptCount val="1"/>
                <c:pt idx="0">
                  <c:v>cacao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  <a:sp3d/>
          </c:spPr>
          <c:invertIfNegative val="0"/>
          <c:cat>
            <c:strRef>
              <c:f>Feuil1!$B$1:$D$1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Feuil1!$B$3:$D$3</c:f>
              <c:numCache>
                <c:formatCode>General</c:formatCode>
                <c:ptCount val="3"/>
                <c:pt idx="0">
                  <c:v>695</c:v>
                </c:pt>
                <c:pt idx="1">
                  <c:v>550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9-4451-A55A-F1DBE8564DC4}"/>
            </c:ext>
          </c:extLst>
        </c:ser>
        <c:ser>
          <c:idx val="2"/>
          <c:order val="2"/>
          <c:tx>
            <c:strRef>
              <c:f>Feuil1!$A$4</c:f>
              <c:strCache>
                <c:ptCount val="1"/>
                <c:pt idx="0">
                  <c:v>hévéa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Feuil1!$B$1:$D$1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Feuil1!$B$4:$D$4</c:f>
              <c:numCache>
                <c:formatCode>General</c:formatCode>
                <c:ptCount val="3"/>
                <c:pt idx="0">
                  <c:v>536</c:v>
                </c:pt>
                <c:pt idx="1">
                  <c:v>59</c:v>
                </c:pt>
                <c:pt idx="2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9-4451-A55A-F1DBE8564DC4}"/>
            </c:ext>
          </c:extLst>
        </c:ser>
        <c:ser>
          <c:idx val="3"/>
          <c:order val="3"/>
          <c:tx>
            <c:strRef>
              <c:f>Feuil1!$A$5</c:f>
              <c:strCache>
                <c:ptCount val="1"/>
                <c:pt idx="0">
                  <c:v>coton</c:v>
                </c:pt>
              </c:strCache>
            </c:strRef>
          </c:tx>
          <c:spPr>
            <a:solidFill>
              <a:schemeClr val="bg1">
                <a:alpha val="74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Feuil1!$B$1:$D$1</c:f>
              <c:strCache>
                <c:ptCount val="3"/>
                <c:pt idx="0">
                  <c:v>janv-09</c:v>
                </c:pt>
                <c:pt idx="1">
                  <c:v>Fev 2009</c:v>
                </c:pt>
                <c:pt idx="2">
                  <c:v>mars-09</c:v>
                </c:pt>
              </c:strCache>
            </c:strRef>
          </c:cat>
          <c:val>
            <c:numRef>
              <c:f>Feuil1!$B$5:$D$5</c:f>
              <c:numCache>
                <c:formatCode>General</c:formatCode>
                <c:ptCount val="3"/>
                <c:pt idx="0">
                  <c:v>675</c:v>
                </c:pt>
                <c:pt idx="1">
                  <c:v>444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49-4451-A55A-F1DBE856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gapDepth val="100"/>
        <c:shape val="cylinder"/>
        <c:axId val="343350288"/>
        <c:axId val="506476376"/>
        <c:axId val="0"/>
      </c:bar3DChart>
      <c:catAx>
        <c:axId val="343350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6476376"/>
        <c:crosses val="autoZero"/>
        <c:auto val="1"/>
        <c:lblAlgn val="ctr"/>
        <c:lblOffset val="100"/>
        <c:noMultiLvlLbl val="0"/>
      </c:catAx>
      <c:valAx>
        <c:axId val="50647637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335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291955</xdr:colOff>
      <xdr:row>1</xdr:row>
      <xdr:rowOff>20656</xdr:rowOff>
    </xdr:from>
    <xdr:to>
      <xdr:col>16</xdr:col>
      <xdr:colOff>290641</xdr:colOff>
      <xdr:row>31</xdr:row>
      <xdr:rowOff>116781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40F2B86-0B60-779C-4B7E-F0A6B2E37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5</xdr:row>
      <xdr:rowOff>152400</xdr:rowOff>
    </xdr:from>
    <xdr:to>
      <xdr:col>11</xdr:col>
      <xdr:colOff>180975</xdr:colOff>
      <xdr:row>20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022F151-0F40-8FF4-BA0A-3FFD5F8FD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163A-60A9-4789-BBB7-48BBFF31D4A6}">
  <dimension ref="A1:J10"/>
  <sheetViews>
    <sheetView workbookViewId="0">
      <selection activeCell="J2" sqref="J2"/>
    </sheetView>
  </sheetViews>
  <sheetFormatPr baseColWidth="10" defaultRowHeight="15" x14ac:dyDescent="0.25"/>
  <cols>
    <col min="2" max="2" width="15.140625" customWidth="1"/>
    <col min="5" max="5" width="14.5703125" customWidth="1"/>
    <col min="10" max="10" width="16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12</v>
      </c>
      <c r="B2">
        <v>15</v>
      </c>
      <c r="C2">
        <v>14</v>
      </c>
      <c r="D2">
        <v>15</v>
      </c>
      <c r="E2">
        <v>16</v>
      </c>
      <c r="F2">
        <v>15</v>
      </c>
      <c r="G2">
        <f t="shared" ref="G2:G10" si="0">SUM(B2:F2)</f>
        <v>75</v>
      </c>
      <c r="H2">
        <f t="shared" ref="H2:H10" si="1">AVERAGE(B2:F2)</f>
        <v>15</v>
      </c>
      <c r="I2">
        <f t="shared" ref="I2:I10" si="2">RANK(H2,$H$2:$H$10)</f>
        <v>1</v>
      </c>
      <c r="J2" t="str">
        <f>IF(H2&lt;8,"EXLCU",IF(H2&lt;10,"redoublant",IF(H2&gt;=15,"felicitation",IF(H2&gt;=12,"tableau d'honneur",IF(H2&gt;=10,"admis")))))</f>
        <v>felicitation</v>
      </c>
    </row>
    <row r="3" spans="1:10" x14ac:dyDescent="0.25">
      <c r="A3" t="s">
        <v>11</v>
      </c>
      <c r="B3">
        <v>14</v>
      </c>
      <c r="C3">
        <v>12</v>
      </c>
      <c r="D3">
        <v>14</v>
      </c>
      <c r="E3">
        <v>15</v>
      </c>
      <c r="F3">
        <v>14</v>
      </c>
      <c r="G3">
        <f t="shared" si="0"/>
        <v>69</v>
      </c>
      <c r="H3">
        <f t="shared" si="1"/>
        <v>13.8</v>
      </c>
      <c r="I3">
        <f t="shared" si="2"/>
        <v>2</v>
      </c>
      <c r="J3" t="str">
        <f t="shared" ref="J3:J10" si="3">IF(H3&lt;8,"EXLCU",IF(H3&lt;10,"redoublant",IF(H3&gt;=15,"felicitation",IF(H3&gt;=12,"tableau d'honneur",IF(H3&gt;=10,"admis")))))</f>
        <v>tableau d'honneur</v>
      </c>
    </row>
    <row r="4" spans="1:10" x14ac:dyDescent="0.25">
      <c r="A4" t="s">
        <v>15</v>
      </c>
      <c r="B4">
        <v>14</v>
      </c>
      <c r="C4">
        <v>12</v>
      </c>
      <c r="D4">
        <v>13</v>
      </c>
      <c r="E4">
        <v>14</v>
      </c>
      <c r="F4">
        <v>14</v>
      </c>
      <c r="G4">
        <f t="shared" si="0"/>
        <v>67</v>
      </c>
      <c r="H4">
        <f t="shared" si="1"/>
        <v>13.4</v>
      </c>
      <c r="I4">
        <f t="shared" si="2"/>
        <v>3</v>
      </c>
      <c r="J4" t="b">
        <f>J2=IF(H4&lt;8,"EXLCU",IF(H4&lt;10,"redoublant",IF(H4&gt;=15,"felicitation",IF(H4&gt;=12,"tableau d'honneur",IF(H4&gt;=10,"admis")))))</f>
        <v>0</v>
      </c>
    </row>
    <row r="5" spans="1:10" x14ac:dyDescent="0.25">
      <c r="A5" t="s">
        <v>7</v>
      </c>
      <c r="B5">
        <v>13</v>
      </c>
      <c r="C5">
        <v>12</v>
      </c>
      <c r="D5">
        <v>13</v>
      </c>
      <c r="E5">
        <v>14</v>
      </c>
      <c r="F5">
        <v>13</v>
      </c>
      <c r="G5">
        <f t="shared" si="0"/>
        <v>65</v>
      </c>
      <c r="H5">
        <f t="shared" si="1"/>
        <v>13</v>
      </c>
      <c r="I5">
        <f t="shared" si="2"/>
        <v>4</v>
      </c>
      <c r="J5" t="str">
        <f>IF(H5&lt;8,"EXLCU",IF(H5&lt;10,"redoublant",IF(H5&gt;=15,"felicitation",IF(H5&gt;=12,"tableau d'honneur",IF(H5&gt;=10,"admis")))))</f>
        <v>tableau d'honneur</v>
      </c>
    </row>
    <row r="6" spans="1:10" x14ac:dyDescent="0.25">
      <c r="A6" t="s">
        <v>8</v>
      </c>
      <c r="B6">
        <v>13</v>
      </c>
      <c r="C6">
        <v>14</v>
      </c>
      <c r="D6">
        <v>13</v>
      </c>
      <c r="E6">
        <v>12</v>
      </c>
      <c r="F6">
        <v>12</v>
      </c>
      <c r="G6">
        <f t="shared" si="0"/>
        <v>64</v>
      </c>
      <c r="H6">
        <f t="shared" si="1"/>
        <v>12.8</v>
      </c>
      <c r="I6">
        <f t="shared" si="2"/>
        <v>5</v>
      </c>
      <c r="J6" t="str">
        <f t="shared" si="3"/>
        <v>tableau d'honneur</v>
      </c>
    </row>
    <row r="7" spans="1:10" x14ac:dyDescent="0.25">
      <c r="A7" t="s">
        <v>14</v>
      </c>
      <c r="B7">
        <v>13</v>
      </c>
      <c r="C7">
        <v>11</v>
      </c>
      <c r="D7">
        <v>12</v>
      </c>
      <c r="E7">
        <v>14</v>
      </c>
      <c r="F7">
        <v>9</v>
      </c>
      <c r="G7">
        <f t="shared" si="0"/>
        <v>59</v>
      </c>
      <c r="H7">
        <f t="shared" si="1"/>
        <v>11.8</v>
      </c>
      <c r="I7">
        <f t="shared" si="2"/>
        <v>6</v>
      </c>
      <c r="J7" t="str">
        <f t="shared" si="3"/>
        <v>admis</v>
      </c>
    </row>
    <row r="8" spans="1:10" x14ac:dyDescent="0.25">
      <c r="A8" t="s">
        <v>9</v>
      </c>
      <c r="B8">
        <v>12</v>
      </c>
      <c r="C8">
        <v>12</v>
      </c>
      <c r="D8">
        <v>7</v>
      </c>
      <c r="E8">
        <v>14</v>
      </c>
      <c r="F8">
        <v>9</v>
      </c>
      <c r="G8">
        <f t="shared" si="0"/>
        <v>54</v>
      </c>
      <c r="H8">
        <f t="shared" si="1"/>
        <v>10.8</v>
      </c>
      <c r="I8">
        <f t="shared" si="2"/>
        <v>7</v>
      </c>
      <c r="J8" t="str">
        <f>IF(H8&lt;8,"EXLCU",IF(H8&lt;10,"redoublant",IF(H8&gt;=15,"felicitation",IF(H8&gt;=12,"tableau d'honneur",IF(H8&gt;=10,"admis")))))</f>
        <v>admis</v>
      </c>
    </row>
    <row r="9" spans="1:10" x14ac:dyDescent="0.25">
      <c r="A9" t="s">
        <v>13</v>
      </c>
      <c r="B9">
        <v>4</v>
      </c>
      <c r="C9">
        <v>12</v>
      </c>
      <c r="D9">
        <v>2</v>
      </c>
      <c r="E9">
        <v>13</v>
      </c>
      <c r="F9">
        <v>14</v>
      </c>
      <c r="G9">
        <f t="shared" si="0"/>
        <v>45</v>
      </c>
      <c r="H9">
        <f t="shared" si="1"/>
        <v>9</v>
      </c>
      <c r="I9">
        <f t="shared" si="2"/>
        <v>8</v>
      </c>
      <c r="J9" t="str">
        <f t="shared" si="3"/>
        <v>redoublant</v>
      </c>
    </row>
    <row r="10" spans="1:10" x14ac:dyDescent="0.25">
      <c r="A10" t="s">
        <v>10</v>
      </c>
      <c r="B10">
        <v>3</v>
      </c>
      <c r="C10">
        <v>11</v>
      </c>
      <c r="D10">
        <v>11</v>
      </c>
      <c r="E10">
        <v>7</v>
      </c>
      <c r="F10">
        <v>6</v>
      </c>
      <c r="G10">
        <f t="shared" si="0"/>
        <v>38</v>
      </c>
      <c r="H10">
        <f t="shared" si="1"/>
        <v>7.6</v>
      </c>
      <c r="I10">
        <f t="shared" si="2"/>
        <v>9</v>
      </c>
      <c r="J10" t="str">
        <f t="shared" si="3"/>
        <v>EXLCU</v>
      </c>
    </row>
  </sheetData>
  <sortState xmlns:xlrd2="http://schemas.microsoft.com/office/spreadsheetml/2017/richdata2" ref="A2:J10">
    <sortCondition ref="I2:I1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E2EE-89D4-450A-A55A-8A86067010EB}">
  <dimension ref="A1:F12"/>
  <sheetViews>
    <sheetView workbookViewId="0">
      <selection activeCell="F12" sqref="F12"/>
    </sheetView>
  </sheetViews>
  <sheetFormatPr baseColWidth="10" defaultRowHeight="15" x14ac:dyDescent="0.25"/>
  <cols>
    <col min="1" max="1" width="25.28515625" customWidth="1"/>
    <col min="2" max="2" width="16.42578125" customWidth="1"/>
    <col min="3" max="3" width="18.140625" customWidth="1"/>
    <col min="4" max="4" width="19" customWidth="1"/>
    <col min="6" max="6" width="11.85546875" bestFit="1" customWidth="1"/>
  </cols>
  <sheetData>
    <row r="1" spans="1:6" x14ac:dyDescent="0.25">
      <c r="A1" t="s">
        <v>19</v>
      </c>
      <c r="B1" t="s">
        <v>26</v>
      </c>
      <c r="C1" t="s">
        <v>30</v>
      </c>
      <c r="D1" t="s">
        <v>27</v>
      </c>
      <c r="E1" t="s">
        <v>28</v>
      </c>
      <c r="F1" t="s">
        <v>20</v>
      </c>
    </row>
    <row r="2" spans="1:6" x14ac:dyDescent="0.25">
      <c r="A2" t="s">
        <v>38</v>
      </c>
      <c r="B2">
        <v>247</v>
      </c>
      <c r="C2">
        <v>88</v>
      </c>
      <c r="E2">
        <v>10000</v>
      </c>
      <c r="F2">
        <f>C2*E2</f>
        <v>880000</v>
      </c>
    </row>
    <row r="3" spans="1:6" x14ac:dyDescent="0.25">
      <c r="A3" t="s">
        <v>39</v>
      </c>
      <c r="B3">
        <v>171</v>
      </c>
      <c r="C3">
        <v>101</v>
      </c>
      <c r="E3">
        <v>47840</v>
      </c>
      <c r="F3">
        <f t="shared" ref="F3:F7" si="0">C3*E3</f>
        <v>4831840</v>
      </c>
    </row>
    <row r="4" spans="1:6" x14ac:dyDescent="0.25">
      <c r="A4" t="s">
        <v>21</v>
      </c>
      <c r="B4">
        <v>98</v>
      </c>
      <c r="C4">
        <v>67</v>
      </c>
      <c r="E4">
        <v>45215</v>
      </c>
      <c r="F4">
        <f t="shared" si="0"/>
        <v>3029405</v>
      </c>
    </row>
    <row r="5" spans="1:6" x14ac:dyDescent="0.25">
      <c r="A5" t="s">
        <v>40</v>
      </c>
      <c r="B5">
        <v>138</v>
      </c>
      <c r="C5">
        <v>107</v>
      </c>
      <c r="E5">
        <v>27500</v>
      </c>
      <c r="F5">
        <f t="shared" si="0"/>
        <v>2942500</v>
      </c>
    </row>
    <row r="6" spans="1:6" x14ac:dyDescent="0.25">
      <c r="A6" t="s">
        <v>22</v>
      </c>
      <c r="B6">
        <v>1847</v>
      </c>
      <c r="C6">
        <v>1017</v>
      </c>
      <c r="E6">
        <v>10500</v>
      </c>
      <c r="F6">
        <f t="shared" si="0"/>
        <v>10678500</v>
      </c>
    </row>
    <row r="7" spans="1:6" x14ac:dyDescent="0.25">
      <c r="A7" t="s">
        <v>41</v>
      </c>
      <c r="B7">
        <v>1241</v>
      </c>
      <c r="C7">
        <v>1201</v>
      </c>
      <c r="E7">
        <v>15700</v>
      </c>
      <c r="F7">
        <f t="shared" si="0"/>
        <v>18855700</v>
      </c>
    </row>
    <row r="8" spans="1:6" x14ac:dyDescent="0.25">
      <c r="A8" t="s">
        <v>23</v>
      </c>
      <c r="F8">
        <f>SUM(F2:F7)</f>
        <v>41217945</v>
      </c>
    </row>
    <row r="9" spans="1:6" x14ac:dyDescent="0.25">
      <c r="A9" t="s">
        <v>24</v>
      </c>
      <c r="F9">
        <f>F8*18%</f>
        <v>7419230.0999999996</v>
      </c>
    </row>
    <row r="10" spans="1:6" x14ac:dyDescent="0.25">
      <c r="A10" t="s">
        <v>25</v>
      </c>
      <c r="F10">
        <f>F8-F9</f>
        <v>33798714.899999999</v>
      </c>
    </row>
    <row r="11" spans="1:6" x14ac:dyDescent="0.25">
      <c r="A11" t="s">
        <v>31</v>
      </c>
      <c r="F11">
        <f>F10*5%</f>
        <v>1689935.7450000001</v>
      </c>
    </row>
    <row r="12" spans="1:6" x14ac:dyDescent="0.25">
      <c r="A12" t="s">
        <v>29</v>
      </c>
      <c r="F12">
        <f>F10-F11</f>
        <v>32108779.154999997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192B-19DB-4035-9012-C947CCFFE65E}">
  <dimension ref="A1:D5"/>
  <sheetViews>
    <sheetView zoomScale="70" zoomScaleNormal="70" workbookViewId="0">
      <selection sqref="A1:D5"/>
    </sheetView>
  </sheetViews>
  <sheetFormatPr baseColWidth="10" defaultRowHeight="15" x14ac:dyDescent="0.25"/>
  <sheetData>
    <row r="1" spans="1:4" x14ac:dyDescent="0.25">
      <c r="A1" s="1" t="s">
        <v>32</v>
      </c>
      <c r="B1" s="2">
        <v>39814</v>
      </c>
      <c r="C1" s="1" t="s">
        <v>33</v>
      </c>
      <c r="D1" s="2">
        <v>39873</v>
      </c>
    </row>
    <row r="2" spans="1:4" x14ac:dyDescent="0.25">
      <c r="A2" s="1" t="s">
        <v>34</v>
      </c>
      <c r="B2" s="1">
        <v>482</v>
      </c>
      <c r="C2" s="1">
        <v>223</v>
      </c>
      <c r="D2" s="1">
        <v>250</v>
      </c>
    </row>
    <row r="3" spans="1:4" x14ac:dyDescent="0.25">
      <c r="A3" s="1" t="s">
        <v>35</v>
      </c>
      <c r="B3" s="1">
        <v>695</v>
      </c>
      <c r="C3" s="1">
        <v>550</v>
      </c>
      <c r="D3" s="1">
        <v>322</v>
      </c>
    </row>
    <row r="4" spans="1:4" x14ac:dyDescent="0.25">
      <c r="A4" s="1" t="s">
        <v>36</v>
      </c>
      <c r="B4" s="1">
        <v>536</v>
      </c>
      <c r="C4" s="1">
        <v>59</v>
      </c>
      <c r="D4" s="1">
        <v>993</v>
      </c>
    </row>
    <row r="5" spans="1:4" x14ac:dyDescent="0.25">
      <c r="A5" s="1" t="s">
        <v>37</v>
      </c>
      <c r="B5" s="1">
        <v>675</v>
      </c>
      <c r="C5" s="1">
        <v>444</v>
      </c>
      <c r="D5" s="1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B0AE-2139-4E5D-95F4-4207846FAB84}">
  <dimension ref="A1:D5"/>
  <sheetViews>
    <sheetView tabSelected="1" workbookViewId="0">
      <selection activeCell="D16" sqref="D16"/>
    </sheetView>
  </sheetViews>
  <sheetFormatPr baseColWidth="10" defaultRowHeight="15" x14ac:dyDescent="0.25"/>
  <sheetData>
    <row r="1" spans="1:4" x14ac:dyDescent="0.25">
      <c r="A1" s="1" t="s">
        <v>32</v>
      </c>
      <c r="B1" s="2">
        <v>39814</v>
      </c>
      <c r="C1" s="1" t="s">
        <v>33</v>
      </c>
      <c r="D1" s="2">
        <v>39873</v>
      </c>
    </row>
    <row r="2" spans="1:4" x14ac:dyDescent="0.25">
      <c r="A2" s="1" t="s">
        <v>34</v>
      </c>
      <c r="B2" s="1">
        <v>482</v>
      </c>
      <c r="C2" s="1">
        <v>223</v>
      </c>
      <c r="D2" s="1">
        <v>250</v>
      </c>
    </row>
    <row r="3" spans="1:4" x14ac:dyDescent="0.25">
      <c r="A3" s="1" t="s">
        <v>35</v>
      </c>
      <c r="B3" s="1">
        <v>695</v>
      </c>
      <c r="C3" s="1">
        <v>550</v>
      </c>
      <c r="D3" s="1">
        <v>322</v>
      </c>
    </row>
    <row r="4" spans="1:4" x14ac:dyDescent="0.25">
      <c r="A4" s="1" t="s">
        <v>36</v>
      </c>
      <c r="B4" s="1">
        <v>536</v>
      </c>
      <c r="C4" s="1">
        <v>59</v>
      </c>
      <c r="D4" s="1">
        <v>993</v>
      </c>
    </row>
    <row r="5" spans="1:4" x14ac:dyDescent="0.25">
      <c r="A5" s="1" t="s">
        <v>37</v>
      </c>
      <c r="B5" s="1">
        <v>675</v>
      </c>
      <c r="C5" s="1">
        <v>444</v>
      </c>
      <c r="D5" s="1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feuil2</vt:lpstr>
      <vt:lpstr>Feuil4</vt:lpstr>
      <vt:lpstr>Feuil5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aboubakar noursery</dc:creator>
  <cp:lastModifiedBy>baumal francis</cp:lastModifiedBy>
  <dcterms:created xsi:type="dcterms:W3CDTF">2025-05-26T09:36:20Z</dcterms:created>
  <dcterms:modified xsi:type="dcterms:W3CDTF">2025-09-30T01:03:13Z</dcterms:modified>
</cp:coreProperties>
</file>